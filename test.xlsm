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ata\Desktop\"/>
    </mc:Choice>
  </mc:AlternateContent>
  <xr:revisionPtr revIDLastSave="0" documentId="13_ncr:1_{F3C165E1-0BA4-473C-BEC8-04968D7DF70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abelle1" sheetId="1" r:id="rId1"/>
    <sheet name="Tabelle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0" i="1" l="1"/>
  <c r="O60" i="1" s="1"/>
  <c r="M60" i="1"/>
  <c r="L60" i="1"/>
  <c r="N59" i="1"/>
  <c r="O59" i="1" s="1"/>
  <c r="M59" i="1"/>
  <c r="L59" i="1"/>
  <c r="N58" i="1"/>
  <c r="O58" i="1" s="1"/>
  <c r="M58" i="1"/>
  <c r="L58" i="1"/>
  <c r="N57" i="1"/>
  <c r="O57" i="1" s="1"/>
  <c r="M57" i="1"/>
  <c r="L57" i="1"/>
  <c r="N56" i="1"/>
  <c r="O56" i="1" s="1"/>
  <c r="M56" i="1"/>
  <c r="L56" i="1"/>
  <c r="N55" i="1"/>
  <c r="O55" i="1" s="1"/>
  <c r="M55" i="1"/>
  <c r="L55" i="1"/>
  <c r="N54" i="1"/>
  <c r="O54" i="1" s="1"/>
  <c r="M54" i="1"/>
  <c r="L54" i="1"/>
  <c r="N53" i="1"/>
  <c r="O53" i="1" s="1"/>
  <c r="M53" i="1"/>
  <c r="L53" i="1"/>
  <c r="N52" i="1"/>
  <c r="O52" i="1" s="1"/>
  <c r="M52" i="1"/>
  <c r="L52" i="1"/>
  <c r="N51" i="1"/>
  <c r="O51" i="1" s="1"/>
  <c r="M51" i="1"/>
  <c r="L51" i="1"/>
  <c r="N50" i="1"/>
  <c r="O50" i="1" s="1"/>
  <c r="M50" i="1"/>
  <c r="L50" i="1"/>
  <c r="N49" i="1"/>
  <c r="O49" i="1" s="1"/>
  <c r="L49" i="1"/>
  <c r="O48" i="1"/>
  <c r="N48" i="1"/>
  <c r="M48" i="1"/>
  <c r="L48" i="1"/>
  <c r="O47" i="1"/>
  <c r="N47" i="1"/>
  <c r="M47" i="1"/>
  <c r="L47" i="1"/>
  <c r="N46" i="1"/>
  <c r="O46" i="1" s="1"/>
  <c r="M46" i="1"/>
  <c r="L46" i="1"/>
  <c r="O45" i="1"/>
  <c r="N45" i="1"/>
  <c r="M45" i="1"/>
  <c r="L45" i="1"/>
  <c r="O44" i="1"/>
  <c r="N44" i="1"/>
  <c r="M44" i="1"/>
  <c r="L44" i="1"/>
  <c r="N43" i="1"/>
  <c r="O43" i="1" s="1"/>
  <c r="M43" i="1"/>
  <c r="L43" i="1"/>
  <c r="O42" i="1"/>
  <c r="N42" i="1"/>
  <c r="M42" i="1"/>
  <c r="L42" i="1"/>
  <c r="O41" i="1"/>
  <c r="N41" i="1"/>
  <c r="M41" i="1"/>
  <c r="L41" i="1"/>
  <c r="N40" i="1"/>
  <c r="O40" i="1" s="1"/>
  <c r="M40" i="1"/>
  <c r="L40" i="1"/>
  <c r="O39" i="1"/>
  <c r="N39" i="1"/>
  <c r="M39" i="1"/>
  <c r="L39" i="1"/>
  <c r="O38" i="1"/>
  <c r="N38" i="1"/>
  <c r="M38" i="1"/>
  <c r="L38" i="1"/>
  <c r="N37" i="1"/>
  <c r="O37" i="1" s="1"/>
  <c r="M37" i="1"/>
  <c r="L37" i="1"/>
  <c r="O36" i="1"/>
  <c r="N36" i="1"/>
  <c r="M36" i="1"/>
  <c r="L36" i="1"/>
  <c r="O35" i="1"/>
  <c r="N35" i="1"/>
  <c r="M35" i="1"/>
  <c r="L35" i="1"/>
  <c r="N34" i="1"/>
  <c r="O34" i="1" s="1"/>
  <c r="M34" i="1"/>
  <c r="L34" i="1"/>
  <c r="O33" i="1"/>
  <c r="N33" i="1"/>
  <c r="M33" i="1"/>
  <c r="L33" i="1"/>
  <c r="O32" i="1"/>
  <c r="N32" i="1"/>
  <c r="M32" i="1"/>
  <c r="L32" i="1"/>
  <c r="N31" i="1"/>
  <c r="O31" i="1" s="1"/>
  <c r="M31" i="1"/>
  <c r="L31" i="1"/>
  <c r="O30" i="1"/>
  <c r="N30" i="1"/>
  <c r="M30" i="1"/>
  <c r="L30" i="1"/>
  <c r="O29" i="1"/>
  <c r="N29" i="1"/>
  <c r="M29" i="1"/>
  <c r="L29" i="1"/>
  <c r="N28" i="1"/>
  <c r="O28" i="1" s="1"/>
  <c r="M28" i="1"/>
  <c r="L28" i="1"/>
  <c r="O27" i="1"/>
  <c r="N27" i="1"/>
  <c r="M27" i="1"/>
  <c r="L27" i="1"/>
  <c r="O26" i="1"/>
  <c r="N26" i="1"/>
  <c r="M26" i="1"/>
  <c r="L26" i="1"/>
  <c r="N25" i="1"/>
  <c r="O25" i="1" s="1"/>
  <c r="M25" i="1"/>
  <c r="L25" i="1"/>
  <c r="O24" i="1"/>
  <c r="N24" i="1"/>
  <c r="M24" i="1"/>
  <c r="L24" i="1"/>
  <c r="O23" i="1"/>
  <c r="N23" i="1"/>
  <c r="M23" i="1"/>
  <c r="L23" i="1"/>
  <c r="N22" i="1"/>
  <c r="O22" i="1" s="1"/>
  <c r="M22" i="1"/>
  <c r="L22" i="1"/>
  <c r="O21" i="1"/>
  <c r="N21" i="1"/>
  <c r="M21" i="1"/>
  <c r="L21" i="1"/>
  <c r="O20" i="1"/>
  <c r="N20" i="1"/>
  <c r="M20" i="1"/>
  <c r="L20" i="1"/>
  <c r="N19" i="1"/>
  <c r="O19" i="1" s="1"/>
  <c r="M19" i="1"/>
  <c r="L19" i="1"/>
  <c r="O18" i="1"/>
  <c r="N18" i="1"/>
  <c r="M18" i="1"/>
  <c r="L18" i="1"/>
  <c r="O17" i="1"/>
  <c r="N17" i="1"/>
  <c r="M17" i="1"/>
  <c r="L17" i="1"/>
  <c r="N16" i="1"/>
  <c r="O16" i="1" s="1"/>
  <c r="M16" i="1"/>
  <c r="L16" i="1"/>
  <c r="O15" i="1"/>
  <c r="N15" i="1"/>
  <c r="M15" i="1"/>
  <c r="L15" i="1"/>
  <c r="O14" i="1"/>
  <c r="N14" i="1"/>
  <c r="M14" i="1"/>
  <c r="L14" i="1"/>
  <c r="N13" i="1"/>
  <c r="O13" i="1" s="1"/>
  <c r="M13" i="1"/>
  <c r="L13" i="1"/>
  <c r="O12" i="1"/>
  <c r="N12" i="1"/>
  <c r="M12" i="1"/>
  <c r="L12" i="1"/>
  <c r="O11" i="1"/>
  <c r="N11" i="1"/>
  <c r="M11" i="1"/>
  <c r="L11" i="1"/>
  <c r="N10" i="1"/>
  <c r="O10" i="1" s="1"/>
  <c r="M10" i="1"/>
  <c r="L10" i="1"/>
  <c r="O9" i="1"/>
  <c r="N9" i="1"/>
  <c r="M9" i="1"/>
  <c r="L9" i="1"/>
  <c r="O8" i="1"/>
  <c r="N8" i="1"/>
  <c r="M8" i="1"/>
  <c r="L8" i="1"/>
  <c r="N7" i="1"/>
  <c r="O7" i="1" s="1"/>
  <c r="M7" i="1"/>
  <c r="L7" i="1"/>
  <c r="O6" i="1"/>
  <c r="N6" i="1"/>
  <c r="M6" i="1"/>
  <c r="L6" i="1"/>
  <c r="O5" i="1"/>
  <c r="N5" i="1"/>
  <c r="M5" i="1"/>
  <c r="L5" i="1"/>
  <c r="N4" i="1"/>
  <c r="O4" i="1" s="1"/>
  <c r="M4" i="1"/>
  <c r="L4" i="1"/>
  <c r="O3" i="1"/>
  <c r="N3" i="1"/>
  <c r="M3" i="1"/>
  <c r="L3" i="1"/>
  <c r="O2" i="1"/>
  <c r="N2" i="1"/>
  <c r="M2" i="1"/>
  <c r="L2" i="1"/>
</calcChain>
</file>

<file path=xl/sharedStrings.xml><?xml version="1.0" encoding="utf-8"?>
<sst xmlns="http://schemas.openxmlformats.org/spreadsheetml/2006/main" count="75" uniqueCount="17">
  <si>
    <t>Typ</t>
  </si>
  <si>
    <t>Papier</t>
  </si>
  <si>
    <t>Zelle</t>
  </si>
  <si>
    <t>Länge</t>
  </si>
  <si>
    <t>Anzahl</t>
  </si>
  <si>
    <t>Papierbreite</t>
  </si>
  <si>
    <t>spez. Druck [bar]</t>
  </si>
  <si>
    <t>Min-Presskraft</t>
  </si>
  <si>
    <t>spez. Presszeit [min/mm]</t>
  </si>
  <si>
    <t>Min. Presszeit</t>
  </si>
  <si>
    <t>Zylinder</t>
  </si>
  <si>
    <t>Kraft</t>
  </si>
  <si>
    <t>Blockdicke [mm]</t>
  </si>
  <si>
    <t>Dauer (1/10min)</t>
  </si>
  <si>
    <t>Temp</t>
  </si>
  <si>
    <t>C1</t>
  </si>
  <si>
    <t>Materialnummer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</si>
</sst>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2" fontId="1" fillId="0" borderId="0" xfId="0" applyNumberFormat="1" applyFont="1" applyAlignment="1" applyProtection="1">
      <alignment horizontal="center" wrapText="1"/>
      <protection locked="0"/>
    </xf>
    <xf numFmtId="0" fontId="1" fillId="0" borderId="0" xfId="0" applyFont="1" applyAlignment="1" applyProtection="1">
      <alignment horizontal="center" wrapText="1"/>
      <protection locked="0"/>
    </xf>
    <xf numFmtId="1" fontId="1" fillId="0" borderId="0" xfId="0" applyNumberFormat="1" applyFont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1" fontId="0" fillId="3" borderId="1" xfId="0" applyNumberFormat="1" applyFill="1" applyBorder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1" fontId="0" fillId="5" borderId="0" xfId="0" applyNumberFormat="1" applyFill="1" applyAlignment="1" applyProtection="1">
      <alignment horizontal="center"/>
      <protection locked="0"/>
    </xf>
  </cellXfs>
  <cellStyles count="1">
    <cellStyle name="Standard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P60"/>
  <sheetViews>
    <sheetView workbookViewId="0">
      <selection activeCell="F34" sqref="F34"/>
    </sheetView>
  </sheetViews>
  <sheetFormatPr baseColWidth="10" defaultColWidth="9.140625" defaultRowHeight="15" x14ac:dyDescent="0.25"/>
  <cols>
    <col min="1" max="1" width="17.42578125" bestFit="1" customWidth="1"/>
    <col min="2" max="2" width="4.7109375" bestFit="1" customWidth="1"/>
    <col min="3" max="3" width="7.5703125" bestFit="1" customWidth="1"/>
    <col min="4" max="4" width="5.85546875" bestFit="1" customWidth="1"/>
    <col min="5" max="5" width="7.28515625" bestFit="1" customWidth="1"/>
    <col min="6" max="6" width="7.7109375" bestFit="1" customWidth="1"/>
    <col min="7" max="7" width="13.5703125" bestFit="1" customWidth="1"/>
    <col min="8" max="8" width="13" bestFit="1" customWidth="1"/>
    <col min="9" max="9" width="11.42578125" bestFit="1" customWidth="1"/>
    <col min="10" max="10" width="16.7109375" bestFit="1" customWidth="1"/>
    <col min="11" max="11" width="10.5703125" bestFit="1" customWidth="1"/>
    <col min="12" max="12" width="9" bestFit="1" customWidth="1"/>
    <col min="13" max="13" width="6" bestFit="1" customWidth="1"/>
    <col min="14" max="14" width="12.140625" bestFit="1" customWidth="1"/>
    <col min="15" max="15" width="10" bestFit="1" customWidth="1"/>
    <col min="16" max="16" width="6.7109375" bestFit="1" customWidth="1"/>
  </cols>
  <sheetData>
    <row r="1" spans="1:16" ht="30" x14ac:dyDescent="0.25">
      <c r="A1" s="1" t="s">
        <v>16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3" t="s">
        <v>13</v>
      </c>
      <c r="P1" s="2" t="s">
        <v>14</v>
      </c>
    </row>
    <row r="2" spans="1:16" x14ac:dyDescent="0.25">
      <c r="A2" s="4">
        <v>526355</v>
      </c>
      <c r="B2" s="4" t="s">
        <v>15</v>
      </c>
      <c r="C2" s="5">
        <v>0.04</v>
      </c>
      <c r="D2" s="6">
        <v>3.2</v>
      </c>
      <c r="E2" s="4">
        <v>1500</v>
      </c>
      <c r="F2" s="4">
        <v>1650</v>
      </c>
      <c r="G2" s="4">
        <v>914</v>
      </c>
      <c r="H2" s="4">
        <v>22</v>
      </c>
      <c r="I2" s="4"/>
      <c r="J2" s="4">
        <v>3.5</v>
      </c>
      <c r="K2" s="4">
        <v>600</v>
      </c>
      <c r="L2" s="4">
        <f t="shared" ref="L2:L60" si="0">IF(E2&gt;3200,5,3)</f>
        <v>3</v>
      </c>
      <c r="M2" s="7">
        <f t="shared" ref="M2:M48" si="1">E2*G2/10000*H2</f>
        <v>3016.2</v>
      </c>
      <c r="N2" s="7">
        <f t="shared" ref="N2:N60" si="2">F2*C2</f>
        <v>66</v>
      </c>
      <c r="O2" s="7">
        <f>IF(N2*J2*10&lt;K2,K2,N2*J2*10)</f>
        <v>2310</v>
      </c>
      <c r="P2" s="4">
        <v>145</v>
      </c>
    </row>
    <row r="3" spans="1:16" x14ac:dyDescent="0.25">
      <c r="A3" s="4">
        <v>538582</v>
      </c>
      <c r="B3" s="4" t="s">
        <v>15</v>
      </c>
      <c r="C3" s="5">
        <v>0.04</v>
      </c>
      <c r="D3" s="6">
        <v>3.2</v>
      </c>
      <c r="E3" s="4">
        <v>1670</v>
      </c>
      <c r="F3" s="4">
        <v>1560</v>
      </c>
      <c r="G3" s="4">
        <v>914</v>
      </c>
      <c r="H3" s="4">
        <v>22</v>
      </c>
      <c r="I3" s="4"/>
      <c r="J3" s="4">
        <v>3.5</v>
      </c>
      <c r="K3" s="4">
        <v>600</v>
      </c>
      <c r="L3" s="4">
        <f t="shared" si="0"/>
        <v>3</v>
      </c>
      <c r="M3" s="7">
        <f t="shared" si="1"/>
        <v>3358.0360000000001</v>
      </c>
      <c r="N3" s="7">
        <f t="shared" si="2"/>
        <v>62.4</v>
      </c>
      <c r="O3" s="7">
        <f t="shared" ref="O3:O60" si="3">IF(N3*J3*10&lt;K3,K3,N3*J3*10)</f>
        <v>2184</v>
      </c>
      <c r="P3" s="4">
        <v>145</v>
      </c>
    </row>
    <row r="4" spans="1:16" x14ac:dyDescent="0.25">
      <c r="A4" s="4">
        <v>539864</v>
      </c>
      <c r="B4" s="4" t="s">
        <v>15</v>
      </c>
      <c r="C4" s="5">
        <v>0.04</v>
      </c>
      <c r="D4" s="6">
        <v>3.2</v>
      </c>
      <c r="E4" s="4">
        <v>1780</v>
      </c>
      <c r="F4" s="4">
        <v>1580</v>
      </c>
      <c r="G4" s="4">
        <v>914</v>
      </c>
      <c r="H4" s="4">
        <v>22</v>
      </c>
      <c r="I4" s="4"/>
      <c r="J4" s="4">
        <v>3.5</v>
      </c>
      <c r="K4" s="4">
        <v>600</v>
      </c>
      <c r="L4" s="4">
        <f t="shared" si="0"/>
        <v>3</v>
      </c>
      <c r="M4" s="7">
        <f t="shared" si="1"/>
        <v>3579.2240000000002</v>
      </c>
      <c r="N4" s="7">
        <f t="shared" si="2"/>
        <v>63.2</v>
      </c>
      <c r="O4" s="7">
        <f t="shared" si="3"/>
        <v>2212</v>
      </c>
      <c r="P4" s="4">
        <v>145</v>
      </c>
    </row>
    <row r="5" spans="1:16" x14ac:dyDescent="0.25">
      <c r="A5" s="4">
        <v>596213</v>
      </c>
      <c r="B5" s="4" t="s">
        <v>15</v>
      </c>
      <c r="C5" s="5">
        <v>0.04</v>
      </c>
      <c r="D5" s="6">
        <v>3.2</v>
      </c>
      <c r="E5" s="4">
        <v>1530</v>
      </c>
      <c r="F5" s="4">
        <v>1690</v>
      </c>
      <c r="G5" s="4">
        <v>914</v>
      </c>
      <c r="H5" s="4">
        <v>22</v>
      </c>
      <c r="I5" s="4"/>
      <c r="J5" s="4">
        <v>3.5</v>
      </c>
      <c r="K5" s="4">
        <v>600</v>
      </c>
      <c r="L5" s="4">
        <f t="shared" si="0"/>
        <v>3</v>
      </c>
      <c r="M5" s="7">
        <f t="shared" si="1"/>
        <v>3076.5240000000003</v>
      </c>
      <c r="N5" s="7">
        <f t="shared" si="2"/>
        <v>67.599999999999994</v>
      </c>
      <c r="O5" s="7">
        <f>IF(N5*J5*10&lt;K5,K5,N5*J5*10)</f>
        <v>2365.9999999999995</v>
      </c>
      <c r="P5" s="4">
        <v>145</v>
      </c>
    </row>
    <row r="6" spans="1:16" x14ac:dyDescent="0.25">
      <c r="A6" s="4">
        <v>690058</v>
      </c>
      <c r="B6" s="4" t="s">
        <v>15</v>
      </c>
      <c r="C6" s="5">
        <v>0.04</v>
      </c>
      <c r="D6" s="6">
        <v>3.2</v>
      </c>
      <c r="E6" s="4">
        <v>1530</v>
      </c>
      <c r="F6" s="4">
        <v>1450</v>
      </c>
      <c r="G6" s="4">
        <v>914</v>
      </c>
      <c r="H6" s="4">
        <v>22</v>
      </c>
      <c r="I6" s="4"/>
      <c r="J6" s="4">
        <v>3.5</v>
      </c>
      <c r="K6" s="4">
        <v>600</v>
      </c>
      <c r="L6" s="4">
        <f t="shared" si="0"/>
        <v>3</v>
      </c>
      <c r="M6" s="7">
        <f t="shared" si="1"/>
        <v>3076.5240000000003</v>
      </c>
      <c r="N6" s="7">
        <f t="shared" si="2"/>
        <v>58</v>
      </c>
      <c r="O6" s="7">
        <f t="shared" si="3"/>
        <v>2030</v>
      </c>
      <c r="P6" s="4">
        <v>145</v>
      </c>
    </row>
    <row r="7" spans="1:16" x14ac:dyDescent="0.25">
      <c r="A7" s="4">
        <v>1259296</v>
      </c>
      <c r="B7" s="4" t="s">
        <v>15</v>
      </c>
      <c r="C7" s="5">
        <v>0.04</v>
      </c>
      <c r="D7" s="6">
        <v>3.2</v>
      </c>
      <c r="E7" s="4">
        <v>2090</v>
      </c>
      <c r="F7" s="4">
        <v>1130</v>
      </c>
      <c r="G7" s="4">
        <v>914</v>
      </c>
      <c r="H7" s="4">
        <v>22</v>
      </c>
      <c r="I7" s="4"/>
      <c r="J7" s="4">
        <v>3.5</v>
      </c>
      <c r="K7" s="4">
        <v>600</v>
      </c>
      <c r="L7" s="4">
        <f t="shared" si="0"/>
        <v>3</v>
      </c>
      <c r="M7" s="7">
        <f t="shared" si="1"/>
        <v>4202.5720000000001</v>
      </c>
      <c r="N7" s="7">
        <f t="shared" si="2"/>
        <v>45.2</v>
      </c>
      <c r="O7" s="7">
        <f t="shared" si="3"/>
        <v>1582.0000000000002</v>
      </c>
      <c r="P7" s="4">
        <v>145</v>
      </c>
    </row>
    <row r="8" spans="1:16" x14ac:dyDescent="0.25">
      <c r="A8" s="4">
        <v>1327682</v>
      </c>
      <c r="B8" s="4" t="s">
        <v>15</v>
      </c>
      <c r="C8" s="5">
        <v>0.04</v>
      </c>
      <c r="D8" s="6">
        <v>3.2</v>
      </c>
      <c r="E8" s="4">
        <v>1835</v>
      </c>
      <c r="F8" s="4">
        <v>1780</v>
      </c>
      <c r="G8" s="4">
        <v>914</v>
      </c>
      <c r="H8" s="4">
        <v>22</v>
      </c>
      <c r="I8" s="4"/>
      <c r="J8" s="4">
        <v>3.5</v>
      </c>
      <c r="K8" s="4">
        <v>600</v>
      </c>
      <c r="L8" s="4">
        <f t="shared" si="0"/>
        <v>3</v>
      </c>
      <c r="M8" s="7">
        <f t="shared" si="1"/>
        <v>3689.8179999999998</v>
      </c>
      <c r="N8" s="7">
        <f t="shared" si="2"/>
        <v>71.2</v>
      </c>
      <c r="O8" s="7">
        <f t="shared" si="3"/>
        <v>2492</v>
      </c>
      <c r="P8" s="4">
        <v>145</v>
      </c>
    </row>
    <row r="9" spans="1:16" x14ac:dyDescent="0.25">
      <c r="A9" s="4">
        <v>1327739</v>
      </c>
      <c r="B9" s="4" t="s">
        <v>15</v>
      </c>
      <c r="C9" s="5">
        <v>0.04</v>
      </c>
      <c r="D9" s="6">
        <v>3.2</v>
      </c>
      <c r="E9" s="4">
        <v>1490</v>
      </c>
      <c r="F9" s="4">
        <v>1545</v>
      </c>
      <c r="G9" s="4">
        <v>914</v>
      </c>
      <c r="H9" s="4">
        <v>22</v>
      </c>
      <c r="I9" s="4"/>
      <c r="J9" s="4">
        <v>3.5</v>
      </c>
      <c r="K9" s="4">
        <v>600</v>
      </c>
      <c r="L9" s="4">
        <f t="shared" si="0"/>
        <v>3</v>
      </c>
      <c r="M9" s="7">
        <f t="shared" si="1"/>
        <v>2996.0920000000001</v>
      </c>
      <c r="N9" s="7">
        <f t="shared" si="2"/>
        <v>61.800000000000004</v>
      </c>
      <c r="O9" s="7">
        <f t="shared" si="3"/>
        <v>2163</v>
      </c>
      <c r="P9" s="4">
        <v>145</v>
      </c>
    </row>
    <row r="10" spans="1:16" x14ac:dyDescent="0.25">
      <c r="A10" s="4">
        <v>3000776</v>
      </c>
      <c r="B10" s="4" t="s">
        <v>15</v>
      </c>
      <c r="C10" s="5">
        <v>0.04</v>
      </c>
      <c r="D10" s="6">
        <v>3.2</v>
      </c>
      <c r="E10" s="4">
        <v>1215</v>
      </c>
      <c r="F10" s="4">
        <v>1780</v>
      </c>
      <c r="G10" s="4">
        <v>914</v>
      </c>
      <c r="H10" s="4">
        <v>22</v>
      </c>
      <c r="I10" s="4"/>
      <c r="J10" s="4">
        <v>3.5</v>
      </c>
      <c r="K10" s="4">
        <v>600</v>
      </c>
      <c r="L10" s="4">
        <f t="shared" si="0"/>
        <v>3</v>
      </c>
      <c r="M10" s="7">
        <f t="shared" si="1"/>
        <v>2443.1219999999998</v>
      </c>
      <c r="N10" s="7">
        <f t="shared" si="2"/>
        <v>71.2</v>
      </c>
      <c r="O10" s="7">
        <f t="shared" si="3"/>
        <v>2492</v>
      </c>
      <c r="P10" s="4">
        <v>145</v>
      </c>
    </row>
    <row r="11" spans="1:16" x14ac:dyDescent="0.25">
      <c r="A11" s="4">
        <v>3000808</v>
      </c>
      <c r="B11" s="4" t="s">
        <v>15</v>
      </c>
      <c r="C11" s="5">
        <v>0.04</v>
      </c>
      <c r="D11" s="6">
        <v>3.2</v>
      </c>
      <c r="E11" s="4">
        <v>1985</v>
      </c>
      <c r="F11" s="4">
        <v>1040</v>
      </c>
      <c r="G11" s="4">
        <v>914</v>
      </c>
      <c r="H11" s="4">
        <v>22</v>
      </c>
      <c r="I11" s="4"/>
      <c r="J11" s="4">
        <v>3.5</v>
      </c>
      <c r="K11" s="4">
        <v>600</v>
      </c>
      <c r="L11" s="4">
        <f t="shared" si="0"/>
        <v>3</v>
      </c>
      <c r="M11" s="7">
        <f t="shared" si="1"/>
        <v>3991.4380000000001</v>
      </c>
      <c r="N11" s="7">
        <f t="shared" si="2"/>
        <v>41.6</v>
      </c>
      <c r="O11" s="7">
        <f t="shared" si="3"/>
        <v>1456</v>
      </c>
      <c r="P11" s="4">
        <v>145</v>
      </c>
    </row>
    <row r="12" spans="1:16" x14ac:dyDescent="0.25">
      <c r="A12" s="4">
        <v>3000867</v>
      </c>
      <c r="B12" s="4" t="s">
        <v>15</v>
      </c>
      <c r="C12" s="5">
        <v>0.04</v>
      </c>
      <c r="D12" s="6">
        <v>3.2</v>
      </c>
      <c r="E12" s="4">
        <v>1545</v>
      </c>
      <c r="F12" s="4">
        <v>1820</v>
      </c>
      <c r="G12" s="4">
        <v>914</v>
      </c>
      <c r="H12" s="4">
        <v>22</v>
      </c>
      <c r="I12" s="4"/>
      <c r="J12" s="4">
        <v>3.5</v>
      </c>
      <c r="K12" s="4">
        <v>600</v>
      </c>
      <c r="L12" s="4">
        <f t="shared" si="0"/>
        <v>3</v>
      </c>
      <c r="M12" s="7">
        <f t="shared" si="1"/>
        <v>3106.6859999999997</v>
      </c>
      <c r="N12" s="7">
        <f t="shared" si="2"/>
        <v>72.8</v>
      </c>
      <c r="O12" s="7">
        <f t="shared" si="3"/>
        <v>2548</v>
      </c>
      <c r="P12" s="4">
        <v>145</v>
      </c>
    </row>
    <row r="13" spans="1:16" x14ac:dyDescent="0.25">
      <c r="A13" s="4">
        <v>3000869</v>
      </c>
      <c r="B13" s="4" t="s">
        <v>15</v>
      </c>
      <c r="C13" s="5">
        <v>0.04</v>
      </c>
      <c r="D13" s="6">
        <v>3.2</v>
      </c>
      <c r="E13" s="4">
        <v>1910</v>
      </c>
      <c r="F13" s="4">
        <v>1050</v>
      </c>
      <c r="G13" s="4">
        <v>914</v>
      </c>
      <c r="H13" s="4">
        <v>22</v>
      </c>
      <c r="I13" s="4"/>
      <c r="J13" s="4">
        <v>3.5</v>
      </c>
      <c r="K13" s="4">
        <v>600</v>
      </c>
      <c r="L13" s="4">
        <f t="shared" si="0"/>
        <v>3</v>
      </c>
      <c r="M13" s="7">
        <f t="shared" si="1"/>
        <v>3840.6280000000002</v>
      </c>
      <c r="N13" s="7">
        <f t="shared" si="2"/>
        <v>42</v>
      </c>
      <c r="O13" s="7">
        <f t="shared" si="3"/>
        <v>1470</v>
      </c>
      <c r="P13" s="4">
        <v>145</v>
      </c>
    </row>
    <row r="14" spans="1:16" x14ac:dyDescent="0.25">
      <c r="A14" s="4">
        <v>3000871</v>
      </c>
      <c r="B14" s="4" t="s">
        <v>15</v>
      </c>
      <c r="C14" s="5">
        <v>0.04</v>
      </c>
      <c r="D14" s="6">
        <v>3.2</v>
      </c>
      <c r="E14" s="4">
        <v>1730</v>
      </c>
      <c r="F14" s="4">
        <v>1520</v>
      </c>
      <c r="G14" s="4">
        <v>914</v>
      </c>
      <c r="H14" s="4">
        <v>22</v>
      </c>
      <c r="I14" s="4"/>
      <c r="J14" s="4">
        <v>3.5</v>
      </c>
      <c r="K14" s="4">
        <v>600</v>
      </c>
      <c r="L14" s="4">
        <f t="shared" si="0"/>
        <v>3</v>
      </c>
      <c r="M14" s="7">
        <f t="shared" si="1"/>
        <v>3478.6840000000002</v>
      </c>
      <c r="N14" s="7">
        <f t="shared" si="2"/>
        <v>60.800000000000004</v>
      </c>
      <c r="O14" s="7">
        <f t="shared" si="3"/>
        <v>2128</v>
      </c>
      <c r="P14" s="4">
        <v>145</v>
      </c>
    </row>
    <row r="15" spans="1:16" x14ac:dyDescent="0.25">
      <c r="A15" s="4">
        <v>3000904</v>
      </c>
      <c r="B15" s="4" t="s">
        <v>15</v>
      </c>
      <c r="C15" s="5">
        <v>0.04</v>
      </c>
      <c r="D15" s="6">
        <v>3.2</v>
      </c>
      <c r="E15" s="4">
        <v>1315</v>
      </c>
      <c r="F15" s="4">
        <v>1280</v>
      </c>
      <c r="G15" s="4">
        <v>914</v>
      </c>
      <c r="H15" s="4">
        <v>22</v>
      </c>
      <c r="I15" s="4"/>
      <c r="J15" s="4">
        <v>3.5</v>
      </c>
      <c r="K15" s="4">
        <v>600</v>
      </c>
      <c r="L15" s="4">
        <f t="shared" si="0"/>
        <v>3</v>
      </c>
      <c r="M15" s="7">
        <f t="shared" si="1"/>
        <v>2644.2020000000002</v>
      </c>
      <c r="N15" s="7">
        <f t="shared" si="2"/>
        <v>51.2</v>
      </c>
      <c r="O15" s="7">
        <f t="shared" si="3"/>
        <v>1792.0000000000002</v>
      </c>
      <c r="P15" s="4">
        <v>145</v>
      </c>
    </row>
    <row r="16" spans="1:16" x14ac:dyDescent="0.25">
      <c r="A16" s="4">
        <v>3006619</v>
      </c>
      <c r="B16" s="4" t="s">
        <v>15</v>
      </c>
      <c r="C16" s="5">
        <v>0.04</v>
      </c>
      <c r="D16" s="6">
        <v>3.2</v>
      </c>
      <c r="E16" s="4">
        <v>2110</v>
      </c>
      <c r="F16" s="4">
        <v>1625</v>
      </c>
      <c r="G16" s="4">
        <v>914</v>
      </c>
      <c r="H16" s="4">
        <v>22</v>
      </c>
      <c r="I16" s="4"/>
      <c r="J16" s="4">
        <v>3.5</v>
      </c>
      <c r="K16" s="4">
        <v>600</v>
      </c>
      <c r="L16" s="4">
        <f t="shared" si="0"/>
        <v>3</v>
      </c>
      <c r="M16" s="7">
        <f t="shared" si="1"/>
        <v>4242.7880000000005</v>
      </c>
      <c r="N16" s="7">
        <f t="shared" si="2"/>
        <v>65</v>
      </c>
      <c r="O16" s="7">
        <f t="shared" si="3"/>
        <v>2275</v>
      </c>
      <c r="P16" s="4">
        <v>145</v>
      </c>
    </row>
    <row r="17" spans="1:16" x14ac:dyDescent="0.25">
      <c r="A17" s="4">
        <v>3007714</v>
      </c>
      <c r="B17" s="4" t="s">
        <v>15</v>
      </c>
      <c r="C17" s="5">
        <v>0.04</v>
      </c>
      <c r="D17" s="6">
        <v>3.2</v>
      </c>
      <c r="E17" s="4">
        <v>1820</v>
      </c>
      <c r="F17" s="4">
        <v>1905</v>
      </c>
      <c r="G17" s="4">
        <v>914</v>
      </c>
      <c r="H17" s="4">
        <v>22</v>
      </c>
      <c r="I17" s="4"/>
      <c r="J17" s="4">
        <v>3.5</v>
      </c>
      <c r="K17" s="4">
        <v>600</v>
      </c>
      <c r="L17" s="4">
        <f t="shared" si="0"/>
        <v>3</v>
      </c>
      <c r="M17" s="7">
        <f t="shared" si="1"/>
        <v>3659.6560000000004</v>
      </c>
      <c r="N17" s="7">
        <f t="shared" si="2"/>
        <v>76.2</v>
      </c>
      <c r="O17" s="7">
        <f t="shared" si="3"/>
        <v>2667</v>
      </c>
      <c r="P17" s="4">
        <v>145</v>
      </c>
    </row>
    <row r="18" spans="1:16" x14ac:dyDescent="0.25">
      <c r="A18" s="4">
        <v>3008162</v>
      </c>
      <c r="B18" s="4" t="s">
        <v>15</v>
      </c>
      <c r="C18" s="5">
        <v>0.04</v>
      </c>
      <c r="D18" s="6">
        <v>3.2</v>
      </c>
      <c r="E18" s="4">
        <v>2250</v>
      </c>
      <c r="F18" s="4">
        <v>1660</v>
      </c>
      <c r="G18" s="4">
        <v>914</v>
      </c>
      <c r="H18" s="4">
        <v>22</v>
      </c>
      <c r="I18" s="4"/>
      <c r="J18" s="4">
        <v>3.5</v>
      </c>
      <c r="K18" s="4">
        <v>600</v>
      </c>
      <c r="L18" s="4">
        <f t="shared" si="0"/>
        <v>3</v>
      </c>
      <c r="M18" s="7">
        <f t="shared" si="1"/>
        <v>4524.3</v>
      </c>
      <c r="N18" s="7">
        <f t="shared" si="2"/>
        <v>66.400000000000006</v>
      </c>
      <c r="O18" s="7">
        <f t="shared" si="3"/>
        <v>2324.0000000000005</v>
      </c>
      <c r="P18" s="4">
        <v>145</v>
      </c>
    </row>
    <row r="19" spans="1:16" x14ac:dyDescent="0.25">
      <c r="A19" s="4">
        <v>3008334</v>
      </c>
      <c r="B19" s="4" t="s">
        <v>15</v>
      </c>
      <c r="C19" s="5">
        <v>0.04</v>
      </c>
      <c r="D19" s="8">
        <v>3.2</v>
      </c>
      <c r="E19" s="9">
        <v>2120</v>
      </c>
      <c r="F19" s="9">
        <v>1820</v>
      </c>
      <c r="G19" s="4">
        <v>914</v>
      </c>
      <c r="H19" s="4">
        <v>22</v>
      </c>
      <c r="I19" s="4"/>
      <c r="J19" s="4">
        <v>3.5</v>
      </c>
      <c r="K19" s="4">
        <v>600</v>
      </c>
      <c r="L19" s="9">
        <f t="shared" si="0"/>
        <v>3</v>
      </c>
      <c r="M19" s="7">
        <f t="shared" si="1"/>
        <v>4262.8959999999997</v>
      </c>
      <c r="N19" s="10">
        <f t="shared" si="2"/>
        <v>72.8</v>
      </c>
      <c r="O19" s="7">
        <f t="shared" si="3"/>
        <v>2548</v>
      </c>
      <c r="P19" s="4">
        <v>145</v>
      </c>
    </row>
    <row r="20" spans="1:16" x14ac:dyDescent="0.25">
      <c r="A20" s="4">
        <v>3009023</v>
      </c>
      <c r="B20" s="4" t="s">
        <v>15</v>
      </c>
      <c r="C20" s="5">
        <v>0.04</v>
      </c>
      <c r="D20" s="8">
        <v>3.2</v>
      </c>
      <c r="E20" s="9">
        <v>2680</v>
      </c>
      <c r="F20" s="9">
        <v>1100</v>
      </c>
      <c r="G20" s="4">
        <v>914</v>
      </c>
      <c r="H20" s="4">
        <v>22</v>
      </c>
      <c r="I20" s="4"/>
      <c r="J20" s="4">
        <v>3.5</v>
      </c>
      <c r="K20" s="4">
        <v>600</v>
      </c>
      <c r="L20" s="9">
        <f t="shared" si="0"/>
        <v>3</v>
      </c>
      <c r="M20" s="7">
        <f t="shared" si="1"/>
        <v>5388.9439999999995</v>
      </c>
      <c r="N20" s="10">
        <f t="shared" si="2"/>
        <v>44</v>
      </c>
      <c r="O20" s="7">
        <f t="shared" si="3"/>
        <v>1540</v>
      </c>
      <c r="P20" s="4">
        <v>145</v>
      </c>
    </row>
    <row r="21" spans="1:16" x14ac:dyDescent="0.25">
      <c r="A21" s="4">
        <v>3012004</v>
      </c>
      <c r="B21" s="4" t="s">
        <v>15</v>
      </c>
      <c r="C21" s="5">
        <v>0.04</v>
      </c>
      <c r="D21" s="8">
        <v>3.2</v>
      </c>
      <c r="E21" s="9">
        <v>2630</v>
      </c>
      <c r="F21" s="9">
        <v>1280</v>
      </c>
      <c r="G21" s="4">
        <v>914</v>
      </c>
      <c r="H21" s="4">
        <v>22</v>
      </c>
      <c r="I21" s="4"/>
      <c r="J21" s="4">
        <v>3.5</v>
      </c>
      <c r="K21" s="4">
        <v>600</v>
      </c>
      <c r="L21" s="9">
        <f t="shared" si="0"/>
        <v>3</v>
      </c>
      <c r="M21" s="7">
        <f t="shared" si="1"/>
        <v>5288.4040000000005</v>
      </c>
      <c r="N21" s="10">
        <f t="shared" si="2"/>
        <v>51.2</v>
      </c>
      <c r="O21" s="7">
        <f t="shared" si="3"/>
        <v>1792.0000000000002</v>
      </c>
      <c r="P21" s="4">
        <v>145</v>
      </c>
    </row>
    <row r="22" spans="1:16" x14ac:dyDescent="0.25">
      <c r="A22" s="4">
        <v>3012009</v>
      </c>
      <c r="B22" s="4" t="s">
        <v>15</v>
      </c>
      <c r="C22" s="5">
        <v>0.04</v>
      </c>
      <c r="D22" s="8">
        <v>3.2</v>
      </c>
      <c r="E22" s="9">
        <v>3050</v>
      </c>
      <c r="F22" s="9">
        <v>1060</v>
      </c>
      <c r="G22" s="4">
        <v>914</v>
      </c>
      <c r="H22" s="4">
        <v>22</v>
      </c>
      <c r="I22" s="4"/>
      <c r="J22" s="4">
        <v>3.5</v>
      </c>
      <c r="K22" s="4">
        <v>600</v>
      </c>
      <c r="L22" s="9">
        <f t="shared" si="0"/>
        <v>3</v>
      </c>
      <c r="M22" s="7">
        <f t="shared" si="1"/>
        <v>6132.94</v>
      </c>
      <c r="N22" s="10">
        <f t="shared" si="2"/>
        <v>42.4</v>
      </c>
      <c r="O22" s="7">
        <f t="shared" si="3"/>
        <v>1484</v>
      </c>
      <c r="P22" s="4">
        <v>145</v>
      </c>
    </row>
    <row r="23" spans="1:16" x14ac:dyDescent="0.25">
      <c r="A23" s="4">
        <v>3012241</v>
      </c>
      <c r="B23" s="4" t="s">
        <v>15</v>
      </c>
      <c r="C23" s="5">
        <v>0.04</v>
      </c>
      <c r="D23" s="8">
        <v>3.2</v>
      </c>
      <c r="E23" s="9">
        <v>2600</v>
      </c>
      <c r="F23" s="9">
        <v>1910</v>
      </c>
      <c r="G23" s="4">
        <v>914</v>
      </c>
      <c r="H23" s="4">
        <v>22</v>
      </c>
      <c r="I23" s="4"/>
      <c r="J23" s="4">
        <v>3.5</v>
      </c>
      <c r="K23" s="4">
        <v>600</v>
      </c>
      <c r="L23" s="9">
        <f t="shared" si="0"/>
        <v>3</v>
      </c>
      <c r="M23" s="7">
        <f t="shared" si="1"/>
        <v>5228.08</v>
      </c>
      <c r="N23" s="10">
        <f t="shared" si="2"/>
        <v>76.400000000000006</v>
      </c>
      <c r="O23" s="7">
        <f t="shared" si="3"/>
        <v>2674.0000000000005</v>
      </c>
      <c r="P23" s="4">
        <v>145</v>
      </c>
    </row>
    <row r="24" spans="1:16" x14ac:dyDescent="0.25">
      <c r="A24" s="4">
        <v>3012266</v>
      </c>
      <c r="B24" s="4" t="s">
        <v>15</v>
      </c>
      <c r="C24" s="5">
        <v>0.04</v>
      </c>
      <c r="D24" s="8">
        <v>3.2</v>
      </c>
      <c r="E24" s="9">
        <v>2185</v>
      </c>
      <c r="F24" s="9">
        <v>2075</v>
      </c>
      <c r="G24" s="4">
        <v>914</v>
      </c>
      <c r="H24" s="4">
        <v>22</v>
      </c>
      <c r="I24" s="4"/>
      <c r="J24" s="4">
        <v>3.5</v>
      </c>
      <c r="K24" s="4">
        <v>600</v>
      </c>
      <c r="L24" s="9">
        <f t="shared" si="0"/>
        <v>3</v>
      </c>
      <c r="M24" s="7">
        <f t="shared" si="1"/>
        <v>4393.598</v>
      </c>
      <c r="N24" s="10">
        <f t="shared" si="2"/>
        <v>83</v>
      </c>
      <c r="O24" s="7">
        <f t="shared" si="3"/>
        <v>2905</v>
      </c>
      <c r="P24" s="4">
        <v>145</v>
      </c>
    </row>
    <row r="25" spans="1:16" x14ac:dyDescent="0.25">
      <c r="A25" s="4">
        <v>3012267</v>
      </c>
      <c r="B25" s="4" t="s">
        <v>15</v>
      </c>
      <c r="C25" s="5">
        <v>0.04</v>
      </c>
      <c r="D25" s="8">
        <v>3.2</v>
      </c>
      <c r="E25" s="9">
        <v>1650</v>
      </c>
      <c r="F25" s="9">
        <v>1560</v>
      </c>
      <c r="G25" s="4">
        <v>914</v>
      </c>
      <c r="H25" s="4">
        <v>22</v>
      </c>
      <c r="I25" s="4"/>
      <c r="J25" s="4">
        <v>3.5</v>
      </c>
      <c r="K25" s="4">
        <v>600</v>
      </c>
      <c r="L25" s="9">
        <f t="shared" si="0"/>
        <v>3</v>
      </c>
      <c r="M25" s="7">
        <f t="shared" si="1"/>
        <v>3317.82</v>
      </c>
      <c r="N25" s="10">
        <f t="shared" si="2"/>
        <v>62.4</v>
      </c>
      <c r="O25" s="7">
        <f t="shared" si="3"/>
        <v>2184</v>
      </c>
      <c r="P25" s="4">
        <v>145</v>
      </c>
    </row>
    <row r="26" spans="1:16" x14ac:dyDescent="0.25">
      <c r="A26" s="4">
        <v>3012439</v>
      </c>
      <c r="B26" s="4" t="s">
        <v>15</v>
      </c>
      <c r="C26" s="5">
        <v>0.04</v>
      </c>
      <c r="D26" s="8">
        <v>3.2</v>
      </c>
      <c r="E26" s="9">
        <v>2000</v>
      </c>
      <c r="F26" s="9">
        <v>1390</v>
      </c>
      <c r="G26" s="4">
        <v>914</v>
      </c>
      <c r="H26" s="4">
        <v>22</v>
      </c>
      <c r="I26" s="4"/>
      <c r="J26" s="4">
        <v>3.5</v>
      </c>
      <c r="K26" s="4">
        <v>600</v>
      </c>
      <c r="L26" s="9">
        <f t="shared" si="0"/>
        <v>3</v>
      </c>
      <c r="M26" s="7">
        <f t="shared" si="1"/>
        <v>4021.6000000000004</v>
      </c>
      <c r="N26" s="10">
        <f t="shared" si="2"/>
        <v>55.6</v>
      </c>
      <c r="O26" s="7">
        <f t="shared" si="3"/>
        <v>1946</v>
      </c>
      <c r="P26" s="4">
        <v>145</v>
      </c>
    </row>
    <row r="27" spans="1:16" x14ac:dyDescent="0.25">
      <c r="A27" s="4">
        <v>3013253</v>
      </c>
      <c r="B27" s="4" t="s">
        <v>15</v>
      </c>
      <c r="C27" s="5">
        <v>0.04</v>
      </c>
      <c r="D27" s="8">
        <v>3.2</v>
      </c>
      <c r="E27" s="9">
        <v>2980</v>
      </c>
      <c r="F27" s="9">
        <v>1545</v>
      </c>
      <c r="G27" s="4">
        <v>914</v>
      </c>
      <c r="H27" s="4">
        <v>22</v>
      </c>
      <c r="I27" s="4"/>
      <c r="J27" s="4">
        <v>3.5</v>
      </c>
      <c r="K27" s="4">
        <v>600</v>
      </c>
      <c r="L27" s="9">
        <f t="shared" si="0"/>
        <v>3</v>
      </c>
      <c r="M27" s="7">
        <f t="shared" si="1"/>
        <v>5992.1840000000002</v>
      </c>
      <c r="N27" s="10">
        <f t="shared" si="2"/>
        <v>61.800000000000004</v>
      </c>
      <c r="O27" s="7">
        <f t="shared" si="3"/>
        <v>2163</v>
      </c>
      <c r="P27" s="4">
        <v>145</v>
      </c>
    </row>
    <row r="28" spans="1:16" x14ac:dyDescent="0.25">
      <c r="A28" s="4">
        <v>3018754</v>
      </c>
      <c r="B28" s="4" t="s">
        <v>15</v>
      </c>
      <c r="C28" s="5">
        <v>0.04</v>
      </c>
      <c r="D28" s="8">
        <v>3.2</v>
      </c>
      <c r="E28" s="9">
        <v>1820</v>
      </c>
      <c r="F28" s="9">
        <v>1460</v>
      </c>
      <c r="G28" s="4">
        <v>914</v>
      </c>
      <c r="H28" s="4">
        <v>22</v>
      </c>
      <c r="I28" s="4"/>
      <c r="J28" s="4">
        <v>3.5</v>
      </c>
      <c r="K28" s="4">
        <v>600</v>
      </c>
      <c r="L28" s="9">
        <f t="shared" si="0"/>
        <v>3</v>
      </c>
      <c r="M28" s="7">
        <f t="shared" si="1"/>
        <v>3659.6560000000004</v>
      </c>
      <c r="N28" s="10">
        <f t="shared" si="2"/>
        <v>58.4</v>
      </c>
      <c r="O28" s="7">
        <f t="shared" si="3"/>
        <v>2044</v>
      </c>
      <c r="P28" s="4">
        <v>145</v>
      </c>
    </row>
    <row r="29" spans="1:16" x14ac:dyDescent="0.25">
      <c r="A29" s="4">
        <v>3019273</v>
      </c>
      <c r="B29" s="4" t="s">
        <v>15</v>
      </c>
      <c r="C29" s="5">
        <v>0.04</v>
      </c>
      <c r="D29" s="8">
        <v>3.2</v>
      </c>
      <c r="E29" s="9">
        <v>1930</v>
      </c>
      <c r="F29" s="9">
        <v>1390</v>
      </c>
      <c r="G29" s="4">
        <v>914</v>
      </c>
      <c r="H29" s="4">
        <v>22</v>
      </c>
      <c r="I29" s="4"/>
      <c r="J29" s="4">
        <v>3.5</v>
      </c>
      <c r="K29" s="4">
        <v>600</v>
      </c>
      <c r="L29" s="9">
        <f t="shared" si="0"/>
        <v>3</v>
      </c>
      <c r="M29" s="7">
        <f t="shared" si="1"/>
        <v>3880.8439999999996</v>
      </c>
      <c r="N29" s="10">
        <f t="shared" si="2"/>
        <v>55.6</v>
      </c>
      <c r="O29" s="7">
        <f t="shared" si="3"/>
        <v>1946</v>
      </c>
      <c r="P29" s="4">
        <v>145</v>
      </c>
    </row>
    <row r="30" spans="1:16" x14ac:dyDescent="0.25">
      <c r="A30" s="4">
        <v>3022341</v>
      </c>
      <c r="B30" s="4" t="s">
        <v>15</v>
      </c>
      <c r="C30" s="5">
        <v>0.04</v>
      </c>
      <c r="D30" s="8">
        <v>3.2</v>
      </c>
      <c r="E30" s="9">
        <v>2600</v>
      </c>
      <c r="F30" s="9">
        <v>1740</v>
      </c>
      <c r="G30" s="4">
        <v>914</v>
      </c>
      <c r="H30" s="4">
        <v>22</v>
      </c>
      <c r="I30" s="4"/>
      <c r="J30" s="4">
        <v>3.5</v>
      </c>
      <c r="K30" s="4">
        <v>600</v>
      </c>
      <c r="L30" s="9">
        <f t="shared" si="0"/>
        <v>3</v>
      </c>
      <c r="M30" s="7">
        <f t="shared" si="1"/>
        <v>5228.08</v>
      </c>
      <c r="N30" s="10">
        <f t="shared" si="2"/>
        <v>69.600000000000009</v>
      </c>
      <c r="O30" s="7">
        <f t="shared" si="3"/>
        <v>2436</v>
      </c>
      <c r="P30" s="4">
        <v>145</v>
      </c>
    </row>
    <row r="31" spans="1:16" x14ac:dyDescent="0.25">
      <c r="A31" s="4">
        <v>3027077</v>
      </c>
      <c r="B31" s="4" t="s">
        <v>15</v>
      </c>
      <c r="C31" s="5">
        <v>0.04</v>
      </c>
      <c r="D31" s="8">
        <v>3.2</v>
      </c>
      <c r="E31" s="9">
        <v>3060</v>
      </c>
      <c r="F31" s="9">
        <v>1690</v>
      </c>
      <c r="G31" s="4">
        <v>914</v>
      </c>
      <c r="H31" s="4">
        <v>22</v>
      </c>
      <c r="I31" s="4"/>
      <c r="J31" s="4">
        <v>3.5</v>
      </c>
      <c r="K31" s="4">
        <v>600</v>
      </c>
      <c r="L31" s="9">
        <f t="shared" si="0"/>
        <v>3</v>
      </c>
      <c r="M31" s="7">
        <f t="shared" si="1"/>
        <v>6153.0480000000007</v>
      </c>
      <c r="N31" s="10">
        <f t="shared" si="2"/>
        <v>67.599999999999994</v>
      </c>
      <c r="O31" s="7">
        <f t="shared" si="3"/>
        <v>2365.9999999999995</v>
      </c>
      <c r="P31" s="4">
        <v>145</v>
      </c>
    </row>
    <row r="32" spans="1:16" x14ac:dyDescent="0.25">
      <c r="A32" s="4">
        <v>3027509</v>
      </c>
      <c r="B32" s="4" t="s">
        <v>15</v>
      </c>
      <c r="C32" s="5">
        <v>0.04</v>
      </c>
      <c r="D32" s="11">
        <v>3.2</v>
      </c>
      <c r="E32" s="9">
        <v>1700</v>
      </c>
      <c r="F32" s="9">
        <v>1590</v>
      </c>
      <c r="G32" s="4">
        <v>914</v>
      </c>
      <c r="H32" s="4">
        <v>22</v>
      </c>
      <c r="I32" s="4"/>
      <c r="J32" s="4">
        <v>3.5</v>
      </c>
      <c r="K32" s="4">
        <v>600</v>
      </c>
      <c r="L32" s="12">
        <f t="shared" si="0"/>
        <v>3</v>
      </c>
      <c r="M32" s="7">
        <f t="shared" si="1"/>
        <v>3418.3599999999997</v>
      </c>
      <c r="N32" s="13">
        <f t="shared" si="2"/>
        <v>63.6</v>
      </c>
      <c r="O32" s="7">
        <f t="shared" si="3"/>
        <v>2226</v>
      </c>
      <c r="P32" s="4">
        <v>145</v>
      </c>
    </row>
    <row r="33" spans="1:16" x14ac:dyDescent="0.25">
      <c r="A33" s="4">
        <v>3027966</v>
      </c>
      <c r="B33" s="4" t="s">
        <v>15</v>
      </c>
      <c r="C33" s="5">
        <v>0.04</v>
      </c>
      <c r="D33" s="11">
        <v>3.2</v>
      </c>
      <c r="E33" s="9">
        <v>2750</v>
      </c>
      <c r="F33" s="9">
        <v>1700</v>
      </c>
      <c r="G33" s="4">
        <v>914</v>
      </c>
      <c r="H33" s="4">
        <v>22</v>
      </c>
      <c r="I33" s="4"/>
      <c r="J33" s="4">
        <v>3.5</v>
      </c>
      <c r="K33" s="4">
        <v>600</v>
      </c>
      <c r="L33" s="12">
        <f t="shared" si="0"/>
        <v>3</v>
      </c>
      <c r="M33" s="7">
        <f t="shared" si="1"/>
        <v>5529.7</v>
      </c>
      <c r="N33" s="13">
        <f t="shared" si="2"/>
        <v>68</v>
      </c>
      <c r="O33" s="7">
        <f t="shared" si="3"/>
        <v>2380</v>
      </c>
      <c r="P33" s="4">
        <v>145</v>
      </c>
    </row>
    <row r="34" spans="1:16" x14ac:dyDescent="0.25">
      <c r="A34" s="4">
        <v>3034840</v>
      </c>
      <c r="B34" s="4" t="s">
        <v>15</v>
      </c>
      <c r="C34" s="5">
        <v>0.04</v>
      </c>
      <c r="D34" s="11">
        <v>3.2</v>
      </c>
      <c r="E34" s="9">
        <v>2600</v>
      </c>
      <c r="F34" s="9">
        <v>1545</v>
      </c>
      <c r="G34" s="4">
        <v>914</v>
      </c>
      <c r="H34" s="4">
        <v>22</v>
      </c>
      <c r="I34" s="4"/>
      <c r="J34" s="4">
        <v>3.5</v>
      </c>
      <c r="K34" s="4">
        <v>600</v>
      </c>
      <c r="L34" s="12">
        <f t="shared" si="0"/>
        <v>3</v>
      </c>
      <c r="M34" s="7">
        <f t="shared" si="1"/>
        <v>5228.08</v>
      </c>
      <c r="N34" s="13">
        <f t="shared" si="2"/>
        <v>61.800000000000004</v>
      </c>
      <c r="O34" s="7">
        <f t="shared" si="3"/>
        <v>2163</v>
      </c>
      <c r="P34" s="4">
        <v>145</v>
      </c>
    </row>
    <row r="35" spans="1:16" x14ac:dyDescent="0.25">
      <c r="A35" s="4">
        <v>3036652</v>
      </c>
      <c r="B35" s="4" t="s">
        <v>15</v>
      </c>
      <c r="C35" s="5">
        <v>0.04</v>
      </c>
      <c r="D35" s="11">
        <v>3.2</v>
      </c>
      <c r="E35" s="9">
        <v>1535</v>
      </c>
      <c r="F35" s="9">
        <v>1754</v>
      </c>
      <c r="G35" s="4">
        <v>914</v>
      </c>
      <c r="H35" s="4">
        <v>22</v>
      </c>
      <c r="I35" s="4"/>
      <c r="J35" s="4">
        <v>3.5</v>
      </c>
      <c r="K35" s="4">
        <v>600</v>
      </c>
      <c r="L35" s="12">
        <f t="shared" si="0"/>
        <v>3</v>
      </c>
      <c r="M35" s="7">
        <f t="shared" si="1"/>
        <v>3086.578</v>
      </c>
      <c r="N35" s="13">
        <f t="shared" si="2"/>
        <v>70.16</v>
      </c>
      <c r="O35" s="7">
        <f t="shared" si="3"/>
        <v>2455.6</v>
      </c>
      <c r="P35" s="4">
        <v>145</v>
      </c>
    </row>
    <row r="36" spans="1:16" x14ac:dyDescent="0.25">
      <c r="A36" s="4">
        <v>3037927</v>
      </c>
      <c r="B36" s="4" t="s">
        <v>15</v>
      </c>
      <c r="C36" s="5">
        <v>0.04</v>
      </c>
      <c r="D36" s="11">
        <v>3.2</v>
      </c>
      <c r="E36" s="9">
        <v>2280</v>
      </c>
      <c r="F36" s="9">
        <v>1890</v>
      </c>
      <c r="G36" s="4">
        <v>914</v>
      </c>
      <c r="H36" s="4">
        <v>22</v>
      </c>
      <c r="I36" s="4"/>
      <c r="J36" s="4">
        <v>3.5</v>
      </c>
      <c r="K36" s="4">
        <v>600</v>
      </c>
      <c r="L36" s="12">
        <f t="shared" si="0"/>
        <v>3</v>
      </c>
      <c r="M36" s="7">
        <f t="shared" si="1"/>
        <v>4584.6239999999998</v>
      </c>
      <c r="N36" s="13">
        <f t="shared" si="2"/>
        <v>75.600000000000009</v>
      </c>
      <c r="O36" s="7">
        <f t="shared" si="3"/>
        <v>2646</v>
      </c>
      <c r="P36" s="4">
        <v>145</v>
      </c>
    </row>
    <row r="37" spans="1:16" x14ac:dyDescent="0.25">
      <c r="A37" s="4">
        <v>3051038</v>
      </c>
      <c r="B37" s="4" t="s">
        <v>15</v>
      </c>
      <c r="C37" s="5">
        <v>0.04</v>
      </c>
      <c r="D37" s="11">
        <v>3.2</v>
      </c>
      <c r="E37" s="9">
        <v>1700</v>
      </c>
      <c r="F37" s="9">
        <v>1780</v>
      </c>
      <c r="G37" s="4">
        <v>914</v>
      </c>
      <c r="H37" s="4">
        <v>22</v>
      </c>
      <c r="I37" s="4"/>
      <c r="J37" s="4">
        <v>3.5</v>
      </c>
      <c r="K37" s="4">
        <v>600</v>
      </c>
      <c r="L37" s="12">
        <f t="shared" si="0"/>
        <v>3</v>
      </c>
      <c r="M37" s="7">
        <f t="shared" si="1"/>
        <v>3418.3599999999997</v>
      </c>
      <c r="N37" s="13">
        <f t="shared" si="2"/>
        <v>71.2</v>
      </c>
      <c r="O37" s="7">
        <f t="shared" si="3"/>
        <v>2492</v>
      </c>
      <c r="P37" s="4">
        <v>145</v>
      </c>
    </row>
    <row r="38" spans="1:16" x14ac:dyDescent="0.25">
      <c r="A38" s="4">
        <v>3055567</v>
      </c>
      <c r="B38" s="4" t="s">
        <v>15</v>
      </c>
      <c r="C38" s="5">
        <v>0.04</v>
      </c>
      <c r="D38" s="11">
        <v>3.2</v>
      </c>
      <c r="E38" s="9">
        <v>2140</v>
      </c>
      <c r="F38" s="9">
        <v>1350</v>
      </c>
      <c r="G38" s="4">
        <v>914</v>
      </c>
      <c r="H38" s="4">
        <v>22</v>
      </c>
      <c r="I38" s="4"/>
      <c r="J38" s="4">
        <v>3.5</v>
      </c>
      <c r="K38" s="4">
        <v>600</v>
      </c>
      <c r="L38" s="12">
        <f t="shared" si="0"/>
        <v>3</v>
      </c>
      <c r="M38" s="7">
        <f t="shared" si="1"/>
        <v>4303.1120000000001</v>
      </c>
      <c r="N38" s="13">
        <f t="shared" si="2"/>
        <v>54</v>
      </c>
      <c r="O38" s="7">
        <f t="shared" si="3"/>
        <v>1890</v>
      </c>
      <c r="P38" s="4">
        <v>145</v>
      </c>
    </row>
    <row r="39" spans="1:16" x14ac:dyDescent="0.25">
      <c r="A39" s="4">
        <v>3068011</v>
      </c>
      <c r="B39" s="4" t="s">
        <v>15</v>
      </c>
      <c r="C39" s="5">
        <v>0.04</v>
      </c>
      <c r="D39" s="11">
        <v>3.2</v>
      </c>
      <c r="E39" s="9">
        <v>1930</v>
      </c>
      <c r="F39" s="9">
        <v>1770</v>
      </c>
      <c r="G39" s="4">
        <v>914</v>
      </c>
      <c r="H39" s="4">
        <v>22</v>
      </c>
      <c r="I39" s="4"/>
      <c r="J39" s="4">
        <v>3.5</v>
      </c>
      <c r="K39" s="4">
        <v>600</v>
      </c>
      <c r="L39" s="12">
        <f t="shared" si="0"/>
        <v>3</v>
      </c>
      <c r="M39" s="7">
        <f t="shared" si="1"/>
        <v>3880.8439999999996</v>
      </c>
      <c r="N39" s="13">
        <f t="shared" si="2"/>
        <v>70.8</v>
      </c>
      <c r="O39" s="7">
        <f t="shared" si="3"/>
        <v>2478</v>
      </c>
      <c r="P39" s="4">
        <v>145</v>
      </c>
    </row>
    <row r="40" spans="1:16" x14ac:dyDescent="0.25">
      <c r="A40" s="4">
        <v>3104745</v>
      </c>
      <c r="B40" s="4" t="s">
        <v>15</v>
      </c>
      <c r="C40" s="5">
        <v>0.04</v>
      </c>
      <c r="D40" s="11">
        <v>3.2</v>
      </c>
      <c r="E40" s="9">
        <v>2590</v>
      </c>
      <c r="F40" s="9">
        <v>1960</v>
      </c>
      <c r="G40" s="4">
        <v>914</v>
      </c>
      <c r="H40" s="4">
        <v>22</v>
      </c>
      <c r="I40" s="4"/>
      <c r="J40" s="4">
        <v>3.5</v>
      </c>
      <c r="K40" s="4">
        <v>600</v>
      </c>
      <c r="L40" s="12">
        <f t="shared" si="0"/>
        <v>3</v>
      </c>
      <c r="M40" s="7">
        <f t="shared" si="1"/>
        <v>5207.9719999999998</v>
      </c>
      <c r="N40" s="13">
        <f t="shared" si="2"/>
        <v>78.400000000000006</v>
      </c>
      <c r="O40" s="7">
        <f t="shared" si="3"/>
        <v>2744.0000000000005</v>
      </c>
      <c r="P40" s="4">
        <v>145</v>
      </c>
    </row>
    <row r="41" spans="1:16" x14ac:dyDescent="0.25">
      <c r="A41" s="4">
        <v>3104748</v>
      </c>
      <c r="B41" s="4" t="s">
        <v>15</v>
      </c>
      <c r="C41" s="5">
        <v>0.04</v>
      </c>
      <c r="D41" s="11">
        <v>3.2</v>
      </c>
      <c r="E41" s="9">
        <v>1970</v>
      </c>
      <c r="F41" s="9">
        <v>1540</v>
      </c>
      <c r="G41" s="4">
        <v>914</v>
      </c>
      <c r="H41" s="4">
        <v>22</v>
      </c>
      <c r="I41" s="4"/>
      <c r="J41" s="4">
        <v>3.5</v>
      </c>
      <c r="K41" s="4">
        <v>600</v>
      </c>
      <c r="L41" s="12">
        <f t="shared" si="0"/>
        <v>3</v>
      </c>
      <c r="M41" s="7">
        <f t="shared" si="1"/>
        <v>3961.2759999999998</v>
      </c>
      <c r="N41" s="13">
        <f t="shared" si="2"/>
        <v>61.6</v>
      </c>
      <c r="O41" s="7">
        <f t="shared" si="3"/>
        <v>2156</v>
      </c>
      <c r="P41" s="4">
        <v>145</v>
      </c>
    </row>
    <row r="42" spans="1:16" x14ac:dyDescent="0.25">
      <c r="A42" s="4">
        <v>3112430</v>
      </c>
      <c r="B42" s="4" t="s">
        <v>15</v>
      </c>
      <c r="C42" s="5">
        <v>0.04</v>
      </c>
      <c r="D42" s="11">
        <v>3.2</v>
      </c>
      <c r="E42" s="9">
        <v>2025</v>
      </c>
      <c r="F42" s="9">
        <v>1060</v>
      </c>
      <c r="G42" s="4">
        <v>914</v>
      </c>
      <c r="H42" s="4">
        <v>22</v>
      </c>
      <c r="I42" s="4"/>
      <c r="J42" s="4">
        <v>3.5</v>
      </c>
      <c r="K42" s="4">
        <v>600</v>
      </c>
      <c r="L42" s="12">
        <f t="shared" si="0"/>
        <v>3</v>
      </c>
      <c r="M42" s="7">
        <f t="shared" si="1"/>
        <v>4071.8700000000003</v>
      </c>
      <c r="N42" s="13">
        <f t="shared" si="2"/>
        <v>42.4</v>
      </c>
      <c r="O42" s="7">
        <f t="shared" si="3"/>
        <v>1484</v>
      </c>
      <c r="P42" s="4">
        <v>145</v>
      </c>
    </row>
    <row r="43" spans="1:16" x14ac:dyDescent="0.25">
      <c r="A43" s="4">
        <v>3112431</v>
      </c>
      <c r="B43" s="4" t="s">
        <v>15</v>
      </c>
      <c r="C43" s="5">
        <v>0.04</v>
      </c>
      <c r="D43" s="11">
        <v>3.2</v>
      </c>
      <c r="E43" s="9">
        <v>1910</v>
      </c>
      <c r="F43" s="9">
        <v>1060</v>
      </c>
      <c r="G43" s="4">
        <v>914</v>
      </c>
      <c r="H43" s="4">
        <v>22</v>
      </c>
      <c r="I43" s="4"/>
      <c r="J43" s="4">
        <v>3.5</v>
      </c>
      <c r="K43" s="4">
        <v>600</v>
      </c>
      <c r="L43" s="12">
        <f t="shared" si="0"/>
        <v>3</v>
      </c>
      <c r="M43" s="7">
        <f t="shared" si="1"/>
        <v>3840.6280000000002</v>
      </c>
      <c r="N43" s="13">
        <f t="shared" si="2"/>
        <v>42.4</v>
      </c>
      <c r="O43" s="7">
        <f t="shared" si="3"/>
        <v>1484</v>
      </c>
      <c r="P43" s="4">
        <v>145</v>
      </c>
    </row>
    <row r="44" spans="1:16" x14ac:dyDescent="0.25">
      <c r="A44" s="4">
        <v>3048002</v>
      </c>
      <c r="B44" s="4" t="s">
        <v>15</v>
      </c>
      <c r="C44" s="5">
        <v>0.04</v>
      </c>
      <c r="D44" s="11">
        <v>3.2</v>
      </c>
      <c r="E44" s="9">
        <v>2280</v>
      </c>
      <c r="F44" s="9">
        <v>1765</v>
      </c>
      <c r="G44" s="4">
        <v>914</v>
      </c>
      <c r="H44" s="4">
        <v>22</v>
      </c>
      <c r="I44" s="4"/>
      <c r="J44" s="4">
        <v>3.5</v>
      </c>
      <c r="K44" s="4">
        <v>600</v>
      </c>
      <c r="L44" s="12">
        <f t="shared" si="0"/>
        <v>3</v>
      </c>
      <c r="M44" s="7">
        <f t="shared" si="1"/>
        <v>4584.6239999999998</v>
      </c>
      <c r="N44" s="13">
        <f t="shared" si="2"/>
        <v>70.600000000000009</v>
      </c>
      <c r="O44" s="7">
        <f t="shared" si="3"/>
        <v>2471</v>
      </c>
      <c r="P44" s="4">
        <v>145</v>
      </c>
    </row>
    <row r="45" spans="1:16" x14ac:dyDescent="0.25">
      <c r="A45" s="4">
        <v>3121487</v>
      </c>
      <c r="B45" s="4" t="s">
        <v>15</v>
      </c>
      <c r="C45" s="5">
        <v>0.04</v>
      </c>
      <c r="D45" s="11">
        <v>3.2</v>
      </c>
      <c r="E45" s="9">
        <v>1590</v>
      </c>
      <c r="F45" s="9">
        <v>1780</v>
      </c>
      <c r="G45" s="4">
        <v>914</v>
      </c>
      <c r="H45" s="4">
        <v>22</v>
      </c>
      <c r="I45" s="4"/>
      <c r="J45" s="4">
        <v>3.5</v>
      </c>
      <c r="K45" s="4">
        <v>600</v>
      </c>
      <c r="L45" s="12">
        <f t="shared" si="0"/>
        <v>3</v>
      </c>
      <c r="M45" s="7">
        <f t="shared" si="1"/>
        <v>3197.172</v>
      </c>
      <c r="N45" s="13">
        <f t="shared" si="2"/>
        <v>71.2</v>
      </c>
      <c r="O45" s="7">
        <f t="shared" si="3"/>
        <v>2492</v>
      </c>
      <c r="P45" s="4">
        <v>145</v>
      </c>
    </row>
    <row r="46" spans="1:16" x14ac:dyDescent="0.25">
      <c r="A46" s="4">
        <v>3000868</v>
      </c>
      <c r="B46" s="4" t="s">
        <v>15</v>
      </c>
      <c r="C46" s="5">
        <v>0.04</v>
      </c>
      <c r="D46" s="11">
        <v>3.2</v>
      </c>
      <c r="E46" s="9">
        <v>1600</v>
      </c>
      <c r="F46" s="9">
        <v>1570</v>
      </c>
      <c r="G46" s="4">
        <v>914</v>
      </c>
      <c r="H46" s="4">
        <v>22</v>
      </c>
      <c r="I46" s="4"/>
      <c r="J46" s="4">
        <v>3.5</v>
      </c>
      <c r="K46" s="4">
        <v>600</v>
      </c>
      <c r="L46" s="12">
        <f t="shared" si="0"/>
        <v>3</v>
      </c>
      <c r="M46" s="7">
        <f t="shared" si="1"/>
        <v>3217.28</v>
      </c>
      <c r="N46" s="13">
        <f t="shared" si="2"/>
        <v>62.800000000000004</v>
      </c>
      <c r="O46" s="7">
        <f t="shared" si="3"/>
        <v>2198</v>
      </c>
      <c r="P46" s="4">
        <v>145</v>
      </c>
    </row>
    <row r="47" spans="1:16" x14ac:dyDescent="0.25">
      <c r="A47" s="4">
        <v>3138021</v>
      </c>
      <c r="B47" s="4" t="s">
        <v>15</v>
      </c>
      <c r="C47" s="5">
        <v>0.04</v>
      </c>
      <c r="D47" s="11">
        <v>3.2</v>
      </c>
      <c r="E47" s="9">
        <v>2570</v>
      </c>
      <c r="F47" s="9">
        <v>1840</v>
      </c>
      <c r="G47" s="4">
        <v>914</v>
      </c>
      <c r="H47" s="4">
        <v>22</v>
      </c>
      <c r="I47" s="4"/>
      <c r="J47" s="4">
        <v>3.5</v>
      </c>
      <c r="K47" s="4">
        <v>600</v>
      </c>
      <c r="L47" s="12">
        <f t="shared" si="0"/>
        <v>3</v>
      </c>
      <c r="M47" s="7">
        <f t="shared" si="1"/>
        <v>5167.7560000000003</v>
      </c>
      <c r="N47" s="13">
        <f t="shared" si="2"/>
        <v>73.600000000000009</v>
      </c>
      <c r="O47" s="7">
        <f t="shared" si="3"/>
        <v>2576</v>
      </c>
      <c r="P47" s="4">
        <v>145</v>
      </c>
    </row>
    <row r="48" spans="1:16" x14ac:dyDescent="0.25">
      <c r="A48" s="4">
        <v>3145020</v>
      </c>
      <c r="B48" s="4" t="s">
        <v>15</v>
      </c>
      <c r="C48" s="5">
        <v>0.04</v>
      </c>
      <c r="D48" s="11">
        <v>3.2</v>
      </c>
      <c r="E48" s="9">
        <v>3168</v>
      </c>
      <c r="F48" s="9">
        <v>1755</v>
      </c>
      <c r="G48" s="4">
        <v>914</v>
      </c>
      <c r="H48" s="4">
        <v>22</v>
      </c>
      <c r="I48" s="4"/>
      <c r="J48" s="4">
        <v>3.5</v>
      </c>
      <c r="K48" s="4">
        <v>600</v>
      </c>
      <c r="L48" s="12">
        <f t="shared" si="0"/>
        <v>3</v>
      </c>
      <c r="M48" s="7">
        <f t="shared" si="1"/>
        <v>6370.2144000000008</v>
      </c>
      <c r="N48" s="13">
        <f t="shared" si="2"/>
        <v>70.2</v>
      </c>
      <c r="O48" s="7">
        <f t="shared" si="3"/>
        <v>2457</v>
      </c>
      <c r="P48" s="4">
        <v>145</v>
      </c>
    </row>
    <row r="49" spans="1:16" x14ac:dyDescent="0.25">
      <c r="A49" s="4">
        <v>3017361</v>
      </c>
      <c r="B49" s="4" t="s">
        <v>15</v>
      </c>
      <c r="C49" s="14">
        <v>0.05</v>
      </c>
      <c r="D49" s="8">
        <v>6.4</v>
      </c>
      <c r="E49" s="9">
        <v>1750</v>
      </c>
      <c r="F49" s="9">
        <v>525</v>
      </c>
      <c r="G49" s="4">
        <v>914</v>
      </c>
      <c r="H49" s="4"/>
      <c r="I49" s="4"/>
      <c r="J49" s="4">
        <v>3.5</v>
      </c>
      <c r="K49" s="4">
        <v>600</v>
      </c>
      <c r="L49" s="9">
        <f t="shared" si="0"/>
        <v>3</v>
      </c>
      <c r="M49" s="15">
        <v>3000</v>
      </c>
      <c r="N49" s="10">
        <f t="shared" si="2"/>
        <v>26.25</v>
      </c>
      <c r="O49" s="7">
        <f t="shared" si="3"/>
        <v>918.75</v>
      </c>
      <c r="P49" s="9">
        <v>160</v>
      </c>
    </row>
    <row r="50" spans="1:16" x14ac:dyDescent="0.25">
      <c r="A50" s="4">
        <v>213942</v>
      </c>
      <c r="B50" s="4" t="s">
        <v>15</v>
      </c>
      <c r="C50" s="14">
        <v>0.05</v>
      </c>
      <c r="D50" s="11">
        <v>3.2</v>
      </c>
      <c r="E50" s="9">
        <v>1650</v>
      </c>
      <c r="F50" s="9">
        <v>1550</v>
      </c>
      <c r="G50" s="4">
        <v>914</v>
      </c>
      <c r="H50" s="4">
        <v>35</v>
      </c>
      <c r="I50" s="4"/>
      <c r="J50" s="4">
        <v>3.5</v>
      </c>
      <c r="K50" s="4">
        <v>600</v>
      </c>
      <c r="L50" s="12">
        <f t="shared" si="0"/>
        <v>3</v>
      </c>
      <c r="M50" s="7">
        <f t="shared" ref="M50:M60" si="4">E50*G50/10000*H50</f>
        <v>5278.35</v>
      </c>
      <c r="N50" s="13">
        <f t="shared" si="2"/>
        <v>77.5</v>
      </c>
      <c r="O50" s="7">
        <f t="shared" si="3"/>
        <v>2712.5</v>
      </c>
      <c r="P50" s="12">
        <v>160</v>
      </c>
    </row>
    <row r="51" spans="1:16" x14ac:dyDescent="0.25">
      <c r="A51" s="4">
        <v>232017</v>
      </c>
      <c r="B51" s="4" t="s">
        <v>15</v>
      </c>
      <c r="C51" s="14">
        <v>0.05</v>
      </c>
      <c r="D51" s="11">
        <v>3.2</v>
      </c>
      <c r="E51" s="9">
        <v>1500</v>
      </c>
      <c r="F51" s="9">
        <v>1270</v>
      </c>
      <c r="G51" s="4">
        <v>914</v>
      </c>
      <c r="H51" s="4">
        <v>35</v>
      </c>
      <c r="I51" s="4"/>
      <c r="J51" s="4">
        <v>3.5</v>
      </c>
      <c r="K51" s="4">
        <v>600</v>
      </c>
      <c r="L51" s="12">
        <f t="shared" si="0"/>
        <v>3</v>
      </c>
      <c r="M51" s="7">
        <f t="shared" si="4"/>
        <v>4798.5</v>
      </c>
      <c r="N51" s="13">
        <f t="shared" si="2"/>
        <v>63.5</v>
      </c>
      <c r="O51" s="7">
        <f t="shared" si="3"/>
        <v>2222.5</v>
      </c>
      <c r="P51" s="12">
        <v>160</v>
      </c>
    </row>
    <row r="52" spans="1:16" x14ac:dyDescent="0.25">
      <c r="A52" s="4">
        <v>232505</v>
      </c>
      <c r="B52" s="4" t="s">
        <v>15</v>
      </c>
      <c r="C52" s="14">
        <v>0.05</v>
      </c>
      <c r="D52" s="11">
        <v>3.2</v>
      </c>
      <c r="E52" s="9">
        <v>1720</v>
      </c>
      <c r="F52" s="9">
        <v>1620</v>
      </c>
      <c r="G52" s="4">
        <v>914</v>
      </c>
      <c r="H52" s="4">
        <v>35</v>
      </c>
      <c r="I52" s="4"/>
      <c r="J52" s="4">
        <v>3.5</v>
      </c>
      <c r="K52" s="4">
        <v>600</v>
      </c>
      <c r="L52" s="12">
        <f t="shared" si="0"/>
        <v>3</v>
      </c>
      <c r="M52" s="7">
        <f t="shared" si="4"/>
        <v>5502.28</v>
      </c>
      <c r="N52" s="13">
        <f t="shared" si="2"/>
        <v>81</v>
      </c>
      <c r="O52" s="7">
        <f t="shared" si="3"/>
        <v>2835</v>
      </c>
      <c r="P52" s="12">
        <v>160</v>
      </c>
    </row>
    <row r="53" spans="1:16" x14ac:dyDescent="0.25">
      <c r="A53" s="4">
        <v>428337</v>
      </c>
      <c r="B53" s="4" t="s">
        <v>15</v>
      </c>
      <c r="C53" s="14">
        <v>0.05</v>
      </c>
      <c r="D53" s="11">
        <v>3.2</v>
      </c>
      <c r="E53" s="9">
        <v>2000</v>
      </c>
      <c r="F53" s="9">
        <v>1570</v>
      </c>
      <c r="G53" s="4">
        <v>914</v>
      </c>
      <c r="H53" s="4">
        <v>35</v>
      </c>
      <c r="I53" s="4"/>
      <c r="J53" s="4">
        <v>3.5</v>
      </c>
      <c r="K53" s="4">
        <v>600</v>
      </c>
      <c r="L53" s="12">
        <f t="shared" si="0"/>
        <v>3</v>
      </c>
      <c r="M53" s="7">
        <f t="shared" si="4"/>
        <v>6398</v>
      </c>
      <c r="N53" s="13">
        <f t="shared" si="2"/>
        <v>78.5</v>
      </c>
      <c r="O53" s="7">
        <f t="shared" si="3"/>
        <v>2747.5</v>
      </c>
      <c r="P53" s="12">
        <v>160</v>
      </c>
    </row>
    <row r="54" spans="1:16" x14ac:dyDescent="0.25">
      <c r="A54" s="4">
        <v>499846</v>
      </c>
      <c r="B54" s="4" t="s">
        <v>15</v>
      </c>
      <c r="C54" s="14">
        <v>0.05</v>
      </c>
      <c r="D54" s="11">
        <v>3.2</v>
      </c>
      <c r="E54" s="9">
        <v>2070</v>
      </c>
      <c r="F54" s="9">
        <v>1950</v>
      </c>
      <c r="G54" s="4">
        <v>914</v>
      </c>
      <c r="H54" s="4">
        <v>35</v>
      </c>
      <c r="I54" s="4"/>
      <c r="J54" s="4">
        <v>3.5</v>
      </c>
      <c r="K54" s="4">
        <v>600</v>
      </c>
      <c r="L54" s="12">
        <f t="shared" si="0"/>
        <v>3</v>
      </c>
      <c r="M54" s="7">
        <f t="shared" si="4"/>
        <v>6621.93</v>
      </c>
      <c r="N54" s="13">
        <f t="shared" si="2"/>
        <v>97.5</v>
      </c>
      <c r="O54" s="7">
        <f t="shared" si="3"/>
        <v>3412.5</v>
      </c>
      <c r="P54" s="12">
        <v>160</v>
      </c>
    </row>
    <row r="55" spans="1:16" x14ac:dyDescent="0.25">
      <c r="A55" s="4">
        <v>506354</v>
      </c>
      <c r="B55" s="4" t="s">
        <v>15</v>
      </c>
      <c r="C55" s="14">
        <v>0.05</v>
      </c>
      <c r="D55" s="11">
        <v>3.2</v>
      </c>
      <c r="E55" s="9">
        <v>2000</v>
      </c>
      <c r="F55" s="9">
        <v>1485</v>
      </c>
      <c r="G55" s="4">
        <v>914</v>
      </c>
      <c r="H55" s="4">
        <v>35</v>
      </c>
      <c r="I55" s="4"/>
      <c r="J55" s="4">
        <v>3.5</v>
      </c>
      <c r="K55" s="4">
        <v>600</v>
      </c>
      <c r="L55" s="12">
        <f t="shared" si="0"/>
        <v>3</v>
      </c>
      <c r="M55" s="7">
        <f t="shared" si="4"/>
        <v>6398</v>
      </c>
      <c r="N55" s="13">
        <f t="shared" si="2"/>
        <v>74.25</v>
      </c>
      <c r="O55" s="7">
        <f t="shared" si="3"/>
        <v>2598.75</v>
      </c>
      <c r="P55" s="12">
        <v>160</v>
      </c>
    </row>
    <row r="56" spans="1:16" x14ac:dyDescent="0.25">
      <c r="A56" s="4">
        <v>526347</v>
      </c>
      <c r="B56" s="4" t="s">
        <v>15</v>
      </c>
      <c r="C56" s="14">
        <v>0.05</v>
      </c>
      <c r="D56" s="11">
        <v>3.2</v>
      </c>
      <c r="E56" s="9">
        <v>2430</v>
      </c>
      <c r="F56" s="9">
        <v>1700</v>
      </c>
      <c r="G56" s="4">
        <v>914</v>
      </c>
      <c r="H56" s="4">
        <v>35</v>
      </c>
      <c r="I56" s="4"/>
      <c r="J56" s="4">
        <v>3.5</v>
      </c>
      <c r="K56" s="4">
        <v>600</v>
      </c>
      <c r="L56" s="12">
        <f t="shared" si="0"/>
        <v>3</v>
      </c>
      <c r="M56" s="7">
        <f t="shared" si="4"/>
        <v>7773.57</v>
      </c>
      <c r="N56" s="13">
        <f t="shared" si="2"/>
        <v>85</v>
      </c>
      <c r="O56" s="7">
        <f t="shared" si="3"/>
        <v>2975</v>
      </c>
      <c r="P56" s="12">
        <v>160</v>
      </c>
    </row>
    <row r="57" spans="1:16" x14ac:dyDescent="0.25">
      <c r="A57" s="4">
        <v>820350</v>
      </c>
      <c r="B57" s="4" t="s">
        <v>15</v>
      </c>
      <c r="C57" s="14">
        <v>0.05</v>
      </c>
      <c r="D57" s="11">
        <v>3.2</v>
      </c>
      <c r="E57" s="9">
        <v>1200</v>
      </c>
      <c r="F57" s="9">
        <v>1380</v>
      </c>
      <c r="G57" s="4">
        <v>914</v>
      </c>
      <c r="H57" s="4">
        <v>35</v>
      </c>
      <c r="I57" s="4"/>
      <c r="J57" s="4">
        <v>3.5</v>
      </c>
      <c r="K57" s="4">
        <v>600</v>
      </c>
      <c r="L57" s="12">
        <f t="shared" si="0"/>
        <v>3</v>
      </c>
      <c r="M57" s="7">
        <f t="shared" si="4"/>
        <v>3838.8</v>
      </c>
      <c r="N57" s="13">
        <f t="shared" si="2"/>
        <v>69</v>
      </c>
      <c r="O57" s="7">
        <f t="shared" si="3"/>
        <v>2415</v>
      </c>
      <c r="P57" s="12">
        <v>160</v>
      </c>
    </row>
    <row r="58" spans="1:16" x14ac:dyDescent="0.25">
      <c r="A58" s="4">
        <v>925608</v>
      </c>
      <c r="B58" s="4" t="s">
        <v>15</v>
      </c>
      <c r="C58" s="14">
        <v>0.05</v>
      </c>
      <c r="D58" s="11">
        <v>3.2</v>
      </c>
      <c r="E58" s="9">
        <v>1860</v>
      </c>
      <c r="F58" s="9">
        <v>1740</v>
      </c>
      <c r="G58" s="4">
        <v>914</v>
      </c>
      <c r="H58" s="4">
        <v>35</v>
      </c>
      <c r="I58" s="4"/>
      <c r="J58" s="4">
        <v>3.5</v>
      </c>
      <c r="K58" s="4">
        <v>600</v>
      </c>
      <c r="L58" s="12">
        <f t="shared" si="0"/>
        <v>3</v>
      </c>
      <c r="M58" s="7">
        <f t="shared" si="4"/>
        <v>5950.1399999999994</v>
      </c>
      <c r="N58" s="13">
        <f t="shared" si="2"/>
        <v>87</v>
      </c>
      <c r="O58" s="7">
        <f t="shared" si="3"/>
        <v>3045</v>
      </c>
      <c r="P58" s="12">
        <v>160</v>
      </c>
    </row>
    <row r="59" spans="1:16" x14ac:dyDescent="0.25">
      <c r="A59" s="4">
        <v>925659</v>
      </c>
      <c r="B59" s="4" t="s">
        <v>15</v>
      </c>
      <c r="C59" s="14">
        <v>0.05</v>
      </c>
      <c r="D59" s="11">
        <v>3.2</v>
      </c>
      <c r="E59" s="9">
        <v>1650</v>
      </c>
      <c r="F59" s="9">
        <v>1420</v>
      </c>
      <c r="G59" s="4">
        <v>914</v>
      </c>
      <c r="H59" s="4">
        <v>35</v>
      </c>
      <c r="I59" s="4"/>
      <c r="J59" s="4">
        <v>3.5</v>
      </c>
      <c r="K59" s="4">
        <v>600</v>
      </c>
      <c r="L59" s="12">
        <f t="shared" si="0"/>
        <v>3</v>
      </c>
      <c r="M59" s="7">
        <f t="shared" si="4"/>
        <v>5278.35</v>
      </c>
      <c r="N59" s="13">
        <f t="shared" si="2"/>
        <v>71</v>
      </c>
      <c r="O59" s="7">
        <f t="shared" si="3"/>
        <v>2485</v>
      </c>
      <c r="P59" s="12">
        <v>160</v>
      </c>
    </row>
    <row r="60" spans="1:16" x14ac:dyDescent="0.25">
      <c r="A60" s="4">
        <v>946990</v>
      </c>
      <c r="B60" s="4" t="s">
        <v>15</v>
      </c>
      <c r="C60" s="14">
        <v>0.05</v>
      </c>
      <c r="D60" s="11">
        <v>3.2</v>
      </c>
      <c r="E60" s="9">
        <v>1520</v>
      </c>
      <c r="F60" s="9">
        <v>1620</v>
      </c>
      <c r="G60" s="4">
        <v>914</v>
      </c>
      <c r="H60" s="4">
        <v>35</v>
      </c>
      <c r="I60" s="4"/>
      <c r="J60" s="4">
        <v>3.5</v>
      </c>
      <c r="K60" s="4">
        <v>600</v>
      </c>
      <c r="L60" s="12">
        <f t="shared" si="0"/>
        <v>3</v>
      </c>
      <c r="M60" s="7">
        <f t="shared" si="4"/>
        <v>4862.4799999999996</v>
      </c>
      <c r="N60" s="13">
        <f t="shared" si="2"/>
        <v>81</v>
      </c>
      <c r="O60" s="7">
        <f t="shared" si="3"/>
        <v>2835</v>
      </c>
      <c r="P60" s="12">
        <v>160</v>
      </c>
    </row>
  </sheetData>
  <conditionalFormatting sqref="L2:L60">
    <cfRule type="cellIs" dxfId="1" priority="4" operator="greaterThan">
      <formula>4</formula>
    </cfRule>
  </conditionalFormatting>
  <conditionalFormatting sqref="O2:O60">
    <cfRule type="cellIs" dxfId="0" priority="3" operator="lessThan">
      <formula>1200</formula>
    </cfRule>
  </conditionalFormatting>
  <conditionalFormatting sqref="H2:H60">
    <cfRule type="colorScale" priority="5">
      <colorScale>
        <cfvo type="min"/>
        <cfvo type="percentile" val="10"/>
        <cfvo type="max"/>
        <color theme="4"/>
        <color rgb="FFFFEB84"/>
        <color theme="6" tint="-0.249977111117893"/>
      </colorScale>
    </cfRule>
  </conditionalFormatting>
  <conditionalFormatting sqref="J2:J60">
    <cfRule type="colorScale" priority="2">
      <colorScale>
        <cfvo type="min"/>
        <cfvo type="percentile" val="10"/>
        <cfvo type="max"/>
        <color theme="9" tint="0.79998168889431442"/>
        <color rgb="FFFFEB84"/>
        <color theme="8" tint="-0.249977111117893"/>
      </colorScale>
    </cfRule>
  </conditionalFormatting>
  <conditionalFormatting sqref="P2:P60">
    <cfRule type="colorScale" priority="1">
      <colorScale>
        <cfvo type="min"/>
        <cfvo type="max"/>
        <color theme="9" tint="0.79998168889431442"/>
        <color theme="5" tint="0.59999389629810485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374B-5A2F-4333-86F7-E801615E8B15}">
  <sheetPr codeName="Tabelle2"/>
  <dimension ref="A1"/>
  <sheetViews>
    <sheetView tabSelected="1"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Piatek, Mateusz</dc:creator>
  <cp:lastModifiedBy>Piatek, Mateusz</cp:lastModifiedBy>
  <dcterms:created xsi:type="dcterms:W3CDTF">2015-06-05T18:19:34Z</dcterms:created>
  <dcterms:modified xsi:type="dcterms:W3CDTF">2025-06-23T14:59:40Z</dcterms:modified>
</cp:coreProperties>
</file>